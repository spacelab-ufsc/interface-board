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xr:revisionPtr revIDLastSave="0" documentId="8_{8E888717-A5A4-4DE3-B0AB-4D22EF19381B}" xr6:coauthVersionLast="45" xr6:coauthVersionMax="45" xr10:uidLastSave="{00000000-0000-0000-0000-000000000000}"/>
  <bookViews>
    <workbookView xWindow="1515" yWindow="1515" windowWidth="15375" windowHeight="7875" xr2:uid="{00000000-000D-0000-FFFF-FFFF00000000}"/>
  </bookViews>
  <sheets>
    <sheet name="Plan1" sheetId="1" r:id="rId1"/>
  </sheets>
  <definedNames>
    <definedName name="_FilterDatabase" localSheetId="0" hidden="1">Plan1!$B$10:$J$10</definedName>
    <definedName name="Print_Area" localSheetId="0">Plan1!$A$1:$J$15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5" i="1" l="1"/>
  <c r="A14" i="1"/>
  <c r="A13" i="1"/>
  <c r="A12" i="1" l="1"/>
  <c r="A11" i="1"/>
  <c r="H8" i="1" l="1"/>
  <c r="G8" i="1"/>
</calcChain>
</file>

<file path=xl/sharedStrings.xml><?xml version="1.0" encoding="utf-8"?>
<sst xmlns="http://schemas.openxmlformats.org/spreadsheetml/2006/main" count="63" uniqueCount="54">
  <si>
    <t>Source Data From:</t>
  </si>
  <si>
    <t>Project:</t>
  </si>
  <si>
    <t>Variant:</t>
  </si>
  <si>
    <t>Report Date:</t>
  </si>
  <si>
    <t>Print Date:</t>
  </si>
  <si>
    <t>#</t>
  </si>
  <si>
    <t>Bill of Materials</t>
  </si>
  <si>
    <t>Project Code:</t>
  </si>
  <si>
    <t>1_IIP_Charge.PrjPCB</t>
  </si>
  <si>
    <t>None</t>
  </si>
  <si>
    <t>&lt;Parameter ProductCode not found&gt;</t>
  </si>
  <si>
    <t>01/07/2020</t>
  </si>
  <si>
    <t>13:45:00</t>
  </si>
  <si>
    <t>Supplier 1</t>
  </si>
  <si>
    <t>Mouser</t>
  </si>
  <si>
    <t>Digi-Key</t>
  </si>
  <si>
    <t>Supplier Part Number 1</t>
  </si>
  <si>
    <t>538-53398-0471</t>
  </si>
  <si>
    <t>538-53398-0571</t>
  </si>
  <si>
    <t>538-53398-0671</t>
  </si>
  <si>
    <t>855-M20-9980745</t>
  </si>
  <si>
    <t>455-2879-ND</t>
  </si>
  <si>
    <t>Supplier 2</t>
  </si>
  <si>
    <t/>
  </si>
  <si>
    <t>Supplier Part Number 2</t>
  </si>
  <si>
    <t>WM7608CT-ND</t>
  </si>
  <si>
    <t>WM7609CT-ND</t>
  </si>
  <si>
    <t>WM7610DKR-ND</t>
  </si>
  <si>
    <t>952-1932-ND</t>
  </si>
  <si>
    <t>Manufacturer Part Number</t>
  </si>
  <si>
    <t>53398-0471</t>
  </si>
  <si>
    <t>53398-0571</t>
  </si>
  <si>
    <t>53398-0671</t>
  </si>
  <si>
    <t>M20-9980745</t>
  </si>
  <si>
    <t>B2B-XH-A-M(LF)(SN)</t>
  </si>
  <si>
    <t>Comment</t>
  </si>
  <si>
    <t>4 pin Picoblade</t>
  </si>
  <si>
    <t>5 pin PicoBlade</t>
  </si>
  <si>
    <t>6 pin Picoblade</t>
  </si>
  <si>
    <t>7 POS dual line Pin Header 2.54mm</t>
  </si>
  <si>
    <t>JST 2 position header 2.5mm</t>
  </si>
  <si>
    <t>Description</t>
  </si>
  <si>
    <t>Connector Header Surface Mount 4 position 0.049" (1.25mm)</t>
  </si>
  <si>
    <t>Wire-To-Board Connector, Vertical, PicoBlade 53398 Series, Surface Mount, Header, 5, 1.25 mm</t>
  </si>
  <si>
    <t>1.25mm Pitch PicoBlade™ Header, Surface Mount, Vertical, 6 Circuits</t>
  </si>
  <si>
    <t>Headers &amp; Wire Housings 07+07 DIL VERTICAL PIN HEADER GOLD HT</t>
  </si>
  <si>
    <t>CONN HEADER TOP 2POS 2.5MM GRN</t>
  </si>
  <si>
    <t>Quantity</t>
  </si>
  <si>
    <t>Designator</t>
  </si>
  <si>
    <t>CN5</t>
  </si>
  <si>
    <t>CN4</t>
  </si>
  <si>
    <t>CN2, CN7</t>
  </si>
  <si>
    <t>CN1, CN6</t>
  </si>
  <si>
    <t>CN3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</si>
</sst>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h:mm:ss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1" fillId="3" borderId="7" xfId="0" applyFont="1" applyFill="1" applyBorder="1"/>
    <xf numFmtId="0" fontId="2" fillId="3" borderId="5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1" fillId="0" borderId="0" xfId="0" applyFont="1" applyFill="1"/>
    <xf numFmtId="0" fontId="1" fillId="0" borderId="0" xfId="0" applyFont="1"/>
    <xf numFmtId="0" fontId="1" fillId="3" borderId="4" xfId="0" applyFont="1" applyFill="1" applyBorder="1"/>
    <xf numFmtId="0" fontId="3" fillId="3" borderId="0" xfId="0" applyFont="1" applyFill="1" applyBorder="1" applyAlignment="1"/>
    <xf numFmtId="0" fontId="3" fillId="3" borderId="2" xfId="0" applyFont="1" applyFill="1" applyBorder="1" applyAlignment="1"/>
    <xf numFmtId="0" fontId="3" fillId="0" borderId="6" xfId="0" applyFont="1" applyFill="1" applyBorder="1" applyAlignment="1">
      <alignment horizontal="right"/>
    </xf>
    <xf numFmtId="0" fontId="1" fillId="3" borderId="0" xfId="0" applyFont="1" applyFill="1" applyBorder="1"/>
    <xf numFmtId="0" fontId="1" fillId="3" borderId="2" xfId="0" applyFont="1" applyFill="1" applyBorder="1"/>
    <xf numFmtId="0" fontId="4" fillId="0" borderId="6" xfId="0" applyFont="1" applyFill="1" applyBorder="1" applyAlignment="1">
      <alignment horizontal="right"/>
    </xf>
    <xf numFmtId="0" fontId="1" fillId="3" borderId="0" xfId="0" applyFont="1" applyFill="1" applyBorder="1" applyAlignment="1"/>
    <xf numFmtId="0" fontId="5" fillId="0" borderId="6" xfId="0" applyFont="1" applyFill="1" applyBorder="1" applyAlignment="1">
      <alignment horizontal="right"/>
    </xf>
    <xf numFmtId="164" fontId="5" fillId="0" borderId="1" xfId="0" applyNumberFormat="1" applyFont="1" applyFill="1" applyBorder="1" applyAlignment="1">
      <alignment horizontal="left"/>
    </xf>
    <xf numFmtId="165" fontId="5" fillId="0" borderId="1" xfId="0" applyNumberFormat="1" applyFont="1" applyFill="1" applyBorder="1" applyAlignment="1">
      <alignment horizontal="left"/>
    </xf>
    <xf numFmtId="0" fontId="1" fillId="3" borderId="9" xfId="0" applyFont="1" applyFill="1" applyBorder="1"/>
    <xf numFmtId="0" fontId="1" fillId="3" borderId="3" xfId="0" applyFont="1" applyFill="1" applyBorder="1"/>
    <xf numFmtId="0" fontId="1" fillId="3" borderId="10" xfId="0" applyFont="1" applyFill="1" applyBorder="1"/>
    <xf numFmtId="0" fontId="1" fillId="3" borderId="3" xfId="0" applyFont="1" applyFill="1" applyBorder="1" applyAlignment="1"/>
    <xf numFmtId="0" fontId="6" fillId="2" borderId="1" xfId="0" quotePrefix="1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2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  <xf numFmtId="0" fontId="7" fillId="0" borderId="1" xfId="0" quotePrefix="1" applyFont="1" applyBorder="1" applyAlignment="1">
      <alignment horizontal="center" vertical="center" wrapText="1"/>
    </xf>
    <xf numFmtId="0" fontId="8" fillId="0" borderId="1" xfId="1" quotePrefix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129541</xdr:rowOff>
    </xdr:from>
    <xdr:to>
      <xdr:col>2</xdr:col>
      <xdr:colOff>889508</xdr:colOff>
      <xdr:row>8</xdr:row>
      <xdr:rowOff>30481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9C561B77-A4A6-46D4-8A41-F4ACD0CFF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29541"/>
          <a:ext cx="2731643" cy="1546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ctopart-clicks.com/click/altium?manufacturer=Molex&amp;mpn=53398-0671&amp;seller=Digi-Key&amp;sku=WM7610DKR-ND&amp;country=BR&amp;channel=BOM%20Report&amp;ref=supplier&amp;" TargetMode="External"/><Relationship Id="rId3" Type="http://schemas.openxmlformats.org/officeDocument/2006/relationships/hyperlink" Target="https://octopart-clicks.com/click/altium?manufacturer=Molex&amp;mpn=53398-0671&amp;seller=Mouser&amp;sku=538-53398-0671&amp;country=BR&amp;channel=BOM%20Report&amp;ref=supplier&amp;" TargetMode="External"/><Relationship Id="rId7" Type="http://schemas.openxmlformats.org/officeDocument/2006/relationships/hyperlink" Target="https://octopart-clicks.com/click/altium?manufacturer=Molex&amp;mpn=0533980571&amp;seller=Digi-Key&amp;sku=WM7609CT-ND&amp;country=BR&amp;channel=BOM%20Report&amp;ref=supplier&amp;" TargetMode="External"/><Relationship Id="rId2" Type="http://schemas.openxmlformats.org/officeDocument/2006/relationships/hyperlink" Target="https://octopart-clicks.com/click/altium?manufacturer=Molex&amp;mpn=0533980571&amp;seller=Mouser&amp;sku=538-53398-0571&amp;country=BR&amp;channel=BOM%20Report&amp;ref=supplier&amp;" TargetMode="External"/><Relationship Id="rId1" Type="http://schemas.openxmlformats.org/officeDocument/2006/relationships/hyperlink" Target="https://octopart-clicks.com/click/altium?manufacturer=Molex&amp;mpn=0533980471&amp;seller=Mouser&amp;sku=538-53398-0471&amp;country=BR&amp;channel=BOM%20Report&amp;ref=supplier&amp;" TargetMode="External"/><Relationship Id="rId6" Type="http://schemas.openxmlformats.org/officeDocument/2006/relationships/hyperlink" Target="https://octopart-clicks.com/click/altium?manufacturer=Molex&amp;mpn=0533980471&amp;seller=Digi-Key&amp;sku=WM7608CT-ND&amp;country=BR&amp;channel=BOM%20Report&amp;ref=supplier&amp;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octopart-clicks.com/click/altium?manufacturer=JST&amp;mpn=B2B-XH-A-M%28LF%29%28SN%29&amp;seller=Digi-Key&amp;sku=455-2879-ND&amp;country=BR&amp;channel=BOM%20Report&amp;ref=supplier&amp;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octopart-clicks.com/click/altium?manufacturer=Harwin&amp;mpn=M20-9980745&amp;seller=Mouser&amp;sku=855-M20-9980745&amp;country=BR&amp;channel=BOM%20Report&amp;ref=supplier&amp;" TargetMode="External"/><Relationship Id="rId9" Type="http://schemas.openxmlformats.org/officeDocument/2006/relationships/hyperlink" Target="https://octopart-clicks.com/click/altium?manufacturer=Harwin&amp;mpn=M20-9980745&amp;seller=Digi-Key&amp;sku=952-1932-ND&amp;country=BR&amp;channel=BOM%20Report&amp;ref=supplier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5"/>
  <sheetViews>
    <sheetView tabSelected="1" view="pageBreakPreview" zoomScaleNormal="100" zoomScaleSheetLayoutView="100" workbookViewId="0">
      <selection activeCell="F11" sqref="F11"/>
    </sheetView>
  </sheetViews>
  <sheetFormatPr defaultColWidth="9.140625" defaultRowHeight="15" x14ac:dyDescent="0.25"/>
  <cols>
    <col min="1" max="1" width="4.7109375" style="5" customWidth="1"/>
    <col min="2" max="2" width="22" style="5" customWidth="1"/>
    <col min="3" max="5" width="32" style="5" customWidth="1"/>
    <col min="6" max="6" width="27.28515625" style="5" customWidth="1"/>
    <col min="7" max="7" width="21.85546875" style="5" customWidth="1"/>
    <col min="8" max="8" width="36" style="5" customWidth="1"/>
    <col min="9" max="9" width="20.5703125" style="5" customWidth="1"/>
    <col min="10" max="10" width="21.140625" style="5" customWidth="1"/>
    <col min="11" max="11" width="12.85546875" style="5" bestFit="1" customWidth="1"/>
    <col min="12" max="16384" width="9.140625" style="5"/>
  </cols>
  <sheetData>
    <row r="1" spans="1:12" ht="28.5" x14ac:dyDescent="0.25">
      <c r="A1" s="1"/>
      <c r="B1" s="2"/>
      <c r="C1" s="3"/>
      <c r="D1" s="26"/>
      <c r="E1" s="26"/>
      <c r="F1" s="28" t="s">
        <v>6</v>
      </c>
      <c r="G1" s="29"/>
      <c r="H1" s="29"/>
      <c r="I1" s="29"/>
      <c r="J1" s="29"/>
      <c r="K1" s="4"/>
      <c r="L1" s="4"/>
    </row>
    <row r="2" spans="1:12" x14ac:dyDescent="0.25">
      <c r="A2" s="6"/>
      <c r="B2" s="7"/>
      <c r="C2" s="8"/>
      <c r="D2" s="8"/>
      <c r="E2" s="8"/>
      <c r="F2" s="9" t="s">
        <v>0</v>
      </c>
      <c r="G2" s="31" t="s">
        <v>8</v>
      </c>
      <c r="H2" s="30"/>
      <c r="I2" s="30"/>
      <c r="J2" s="30"/>
      <c r="K2" s="4"/>
      <c r="L2" s="4"/>
    </row>
    <row r="3" spans="1:12" x14ac:dyDescent="0.25">
      <c r="A3" s="6"/>
      <c r="B3" s="7"/>
      <c r="C3" s="8"/>
      <c r="D3" s="8"/>
      <c r="E3" s="8"/>
      <c r="F3" s="9" t="s">
        <v>1</v>
      </c>
      <c r="G3" s="31" t="s">
        <v>8</v>
      </c>
      <c r="H3" s="30"/>
      <c r="I3" s="30"/>
      <c r="J3" s="30"/>
      <c r="K3" s="4"/>
      <c r="L3" s="4"/>
    </row>
    <row r="4" spans="1:12" x14ac:dyDescent="0.25">
      <c r="A4" s="6"/>
      <c r="B4" s="7"/>
      <c r="C4" s="8"/>
      <c r="D4" s="8"/>
      <c r="E4" s="8"/>
      <c r="F4" s="9" t="s">
        <v>2</v>
      </c>
      <c r="G4" s="31" t="s">
        <v>9</v>
      </c>
      <c r="H4" s="30"/>
      <c r="I4" s="30"/>
      <c r="J4" s="30"/>
      <c r="K4" s="4"/>
      <c r="L4" s="4"/>
    </row>
    <row r="5" spans="1:12" x14ac:dyDescent="0.25">
      <c r="A5" s="6"/>
      <c r="B5" s="7"/>
      <c r="C5" s="8"/>
      <c r="D5" s="8"/>
      <c r="E5" s="8"/>
      <c r="F5" s="9" t="s">
        <v>7</v>
      </c>
      <c r="G5" s="31" t="s">
        <v>10</v>
      </c>
      <c r="H5" s="30"/>
      <c r="I5" s="30"/>
      <c r="J5" s="30"/>
      <c r="K5" s="4"/>
      <c r="L5" s="4"/>
    </row>
    <row r="6" spans="1:12" x14ac:dyDescent="0.25">
      <c r="A6" s="6"/>
      <c r="B6" s="7"/>
      <c r="C6" s="8"/>
      <c r="D6" s="7"/>
      <c r="E6" s="7"/>
      <c r="F6" s="27"/>
      <c r="G6" s="27"/>
      <c r="H6" s="27"/>
      <c r="I6" s="27"/>
      <c r="J6" s="27"/>
      <c r="K6" s="4"/>
      <c r="L6" s="4"/>
    </row>
    <row r="7" spans="1:12" x14ac:dyDescent="0.25">
      <c r="A7" s="6"/>
      <c r="B7" s="10"/>
      <c r="C7" s="11"/>
      <c r="D7" s="11"/>
      <c r="E7" s="11"/>
      <c r="F7" s="12" t="s">
        <v>3</v>
      </c>
      <c r="G7" s="32" t="s">
        <v>11</v>
      </c>
      <c r="H7" s="32" t="s">
        <v>12</v>
      </c>
      <c r="I7" s="13"/>
      <c r="J7" s="13"/>
      <c r="K7" s="4"/>
      <c r="L7" s="4"/>
    </row>
    <row r="8" spans="1:12" x14ac:dyDescent="0.25">
      <c r="A8" s="6"/>
      <c r="B8" s="10"/>
      <c r="C8" s="11"/>
      <c r="D8" s="11"/>
      <c r="E8" s="11"/>
      <c r="F8" s="14" t="s">
        <v>4</v>
      </c>
      <c r="G8" s="15">
        <f ca="1">TODAY()</f>
        <v>44013</v>
      </c>
      <c r="H8" s="16">
        <f ca="1">NOW()</f>
        <v>44013.572972337963</v>
      </c>
      <c r="I8" s="13"/>
      <c r="J8" s="13"/>
      <c r="K8" s="4"/>
      <c r="L8" s="4"/>
    </row>
    <row r="9" spans="1:12" x14ac:dyDescent="0.25">
      <c r="A9" s="17"/>
      <c r="B9" s="18"/>
      <c r="C9" s="19"/>
      <c r="D9" s="10"/>
      <c r="E9" s="10"/>
      <c r="F9" s="10"/>
      <c r="G9" s="10"/>
      <c r="H9" s="20"/>
      <c r="I9" s="20"/>
      <c r="J9" s="20"/>
      <c r="K9" s="4"/>
      <c r="L9" s="4"/>
    </row>
    <row r="10" spans="1:12" x14ac:dyDescent="0.25">
      <c r="A10" s="21" t="s">
        <v>5</v>
      </c>
      <c r="B10" s="21" t="s">
        <v>13</v>
      </c>
      <c r="C10" s="21" t="s">
        <v>16</v>
      </c>
      <c r="D10" s="21" t="s">
        <v>22</v>
      </c>
      <c r="E10" s="21" t="s">
        <v>24</v>
      </c>
      <c r="F10" s="21" t="s">
        <v>29</v>
      </c>
      <c r="G10" s="21" t="s">
        <v>35</v>
      </c>
      <c r="H10" s="21" t="s">
        <v>41</v>
      </c>
      <c r="I10" s="21" t="s">
        <v>47</v>
      </c>
      <c r="J10" s="21" t="s">
        <v>48</v>
      </c>
      <c r="K10" s="22"/>
    </row>
    <row r="11" spans="1:12" ht="25.5" x14ac:dyDescent="0.25">
      <c r="A11" s="23">
        <f>ROW(A11) - ROW($A$10)</f>
        <v>1</v>
      </c>
      <c r="B11" s="33" t="s">
        <v>14</v>
      </c>
      <c r="C11" s="34" t="s">
        <v>17</v>
      </c>
      <c r="D11" s="33" t="s">
        <v>15</v>
      </c>
      <c r="E11" s="34" t="s">
        <v>25</v>
      </c>
      <c r="F11" s="33" t="s">
        <v>30</v>
      </c>
      <c r="G11" s="33" t="s">
        <v>36</v>
      </c>
      <c r="H11" s="33" t="s">
        <v>42</v>
      </c>
      <c r="I11" s="24">
        <v>1</v>
      </c>
      <c r="J11" s="33" t="s">
        <v>49</v>
      </c>
    </row>
    <row r="12" spans="1:12" ht="38.25" x14ac:dyDescent="0.25">
      <c r="A12" s="23">
        <f t="shared" ref="A12:A15" si="0">ROW(A12) - ROW($A$10)</f>
        <v>2</v>
      </c>
      <c r="B12" s="33" t="s">
        <v>14</v>
      </c>
      <c r="C12" s="34" t="s">
        <v>18</v>
      </c>
      <c r="D12" s="33" t="s">
        <v>15</v>
      </c>
      <c r="E12" s="34" t="s">
        <v>26</v>
      </c>
      <c r="F12" s="33" t="s">
        <v>31</v>
      </c>
      <c r="G12" s="33" t="s">
        <v>37</v>
      </c>
      <c r="H12" s="33" t="s">
        <v>43</v>
      </c>
      <c r="I12" s="24">
        <v>1</v>
      </c>
      <c r="J12" s="33" t="s">
        <v>50</v>
      </c>
    </row>
    <row r="13" spans="1:12" ht="25.5" x14ac:dyDescent="0.25">
      <c r="A13" s="23">
        <f>ROW(A13) - ROW($A$10)</f>
        <v>3</v>
      </c>
      <c r="B13" s="33" t="s">
        <v>14</v>
      </c>
      <c r="C13" s="34" t="s">
        <v>19</v>
      </c>
      <c r="D13" s="33" t="s">
        <v>15</v>
      </c>
      <c r="E13" s="34" t="s">
        <v>27</v>
      </c>
      <c r="F13" s="33" t="s">
        <v>32</v>
      </c>
      <c r="G13" s="33" t="s">
        <v>38</v>
      </c>
      <c r="H13" s="33" t="s">
        <v>44</v>
      </c>
      <c r="I13" s="24">
        <v>2</v>
      </c>
      <c r="J13" s="33" t="s">
        <v>51</v>
      </c>
    </row>
    <row r="14" spans="1:12" ht="25.5" x14ac:dyDescent="0.25">
      <c r="A14" s="23">
        <f t="shared" si="0"/>
        <v>4</v>
      </c>
      <c r="B14" s="33" t="s">
        <v>14</v>
      </c>
      <c r="C14" s="34" t="s">
        <v>20</v>
      </c>
      <c r="D14" s="33" t="s">
        <v>15</v>
      </c>
      <c r="E14" s="34" t="s">
        <v>28</v>
      </c>
      <c r="F14" s="33" t="s">
        <v>33</v>
      </c>
      <c r="G14" s="33" t="s">
        <v>39</v>
      </c>
      <c r="H14" s="33" t="s">
        <v>45</v>
      </c>
      <c r="I14" s="24">
        <v>2</v>
      </c>
      <c r="J14" s="33" t="s">
        <v>52</v>
      </c>
    </row>
    <row r="15" spans="1:12" ht="25.5" x14ac:dyDescent="0.25">
      <c r="A15" s="23">
        <f>ROW(A15) - ROW($A$10)</f>
        <v>5</v>
      </c>
      <c r="B15" s="33" t="s">
        <v>15</v>
      </c>
      <c r="C15" s="34" t="s">
        <v>21</v>
      </c>
      <c r="D15" s="33" t="s">
        <v>23</v>
      </c>
      <c r="E15" s="34" t="s">
        <v>23</v>
      </c>
      <c r="F15" s="33" t="s">
        <v>34</v>
      </c>
      <c r="G15" s="33" t="s">
        <v>40</v>
      </c>
      <c r="H15" s="33" t="s">
        <v>46</v>
      </c>
      <c r="I15" s="24">
        <v>1</v>
      </c>
      <c r="J15" s="33" t="s">
        <v>53</v>
      </c>
    </row>
    <row r="16" spans="1:12" x14ac:dyDescent="0.25">
      <c r="F16" s="25"/>
      <c r="G16" s="25"/>
      <c r="H16" s="25"/>
      <c r="I16" s="25"/>
      <c r="J16" s="25"/>
    </row>
    <row r="17" spans="6:10" x14ac:dyDescent="0.25">
      <c r="F17" s="25"/>
      <c r="G17" s="25"/>
      <c r="H17" s="25"/>
      <c r="I17" s="25"/>
      <c r="J17" s="25"/>
    </row>
    <row r="18" spans="6:10" x14ac:dyDescent="0.25">
      <c r="F18" s="25"/>
      <c r="G18" s="25"/>
      <c r="H18" s="25"/>
      <c r="I18" s="25"/>
      <c r="J18" s="25"/>
    </row>
    <row r="19" spans="6:10" x14ac:dyDescent="0.25">
      <c r="F19" s="25"/>
      <c r="G19" s="25"/>
      <c r="H19" s="25"/>
      <c r="I19" s="25"/>
      <c r="J19" s="25"/>
    </row>
    <row r="20" spans="6:10" x14ac:dyDescent="0.25">
      <c r="F20" s="25"/>
      <c r="G20" s="25"/>
      <c r="H20" s="25"/>
      <c r="I20" s="25"/>
      <c r="J20" s="25"/>
    </row>
    <row r="21" spans="6:10" x14ac:dyDescent="0.25">
      <c r="F21" s="25"/>
      <c r="G21" s="25"/>
      <c r="H21" s="25"/>
      <c r="I21" s="25"/>
      <c r="J21" s="25"/>
    </row>
    <row r="22" spans="6:10" x14ac:dyDescent="0.25">
      <c r="G22" s="25"/>
      <c r="H22" s="25"/>
      <c r="I22" s="25"/>
      <c r="J22" s="25"/>
    </row>
    <row r="23" spans="6:10" x14ac:dyDescent="0.25">
      <c r="G23" s="25"/>
      <c r="H23" s="25"/>
      <c r="I23" s="25"/>
      <c r="J23" s="25"/>
    </row>
    <row r="24" spans="6:10" x14ac:dyDescent="0.25">
      <c r="G24" s="25"/>
      <c r="H24" s="25"/>
      <c r="I24" s="25"/>
      <c r="J24" s="25"/>
    </row>
    <row r="25" spans="6:10" x14ac:dyDescent="0.25">
      <c r="G25" s="25"/>
      <c r="H25" s="25"/>
      <c r="I25" s="25"/>
      <c r="J25" s="25"/>
    </row>
    <row r="26" spans="6:10" x14ac:dyDescent="0.25">
      <c r="G26" s="25"/>
      <c r="H26" s="25"/>
      <c r="I26" s="25"/>
      <c r="J26" s="25"/>
    </row>
    <row r="27" spans="6:10" x14ac:dyDescent="0.25">
      <c r="G27" s="25"/>
      <c r="H27" s="25"/>
      <c r="I27" s="25"/>
      <c r="J27" s="25"/>
    </row>
    <row r="28" spans="6:10" x14ac:dyDescent="0.25">
      <c r="G28" s="25"/>
      <c r="H28" s="25"/>
      <c r="I28" s="25"/>
      <c r="J28" s="25"/>
    </row>
    <row r="29" spans="6:10" x14ac:dyDescent="0.25">
      <c r="G29" s="25"/>
      <c r="H29" s="25"/>
      <c r="I29" s="25"/>
      <c r="J29" s="25"/>
    </row>
    <row r="30" spans="6:10" x14ac:dyDescent="0.25">
      <c r="G30" s="25"/>
      <c r="H30" s="25"/>
      <c r="I30" s="25"/>
      <c r="J30" s="25"/>
    </row>
    <row r="31" spans="6:10" x14ac:dyDescent="0.25">
      <c r="G31" s="25"/>
      <c r="H31" s="25"/>
      <c r="I31" s="25"/>
      <c r="J31" s="25"/>
    </row>
    <row r="32" spans="6:10" x14ac:dyDescent="0.25">
      <c r="G32" s="25"/>
      <c r="H32" s="25"/>
      <c r="I32" s="25"/>
      <c r="J32" s="25"/>
    </row>
    <row r="33" spans="7:10" x14ac:dyDescent="0.25">
      <c r="G33" s="25"/>
      <c r="H33" s="25"/>
      <c r="I33" s="25"/>
      <c r="J33" s="25"/>
    </row>
    <row r="34" spans="7:10" x14ac:dyDescent="0.25">
      <c r="G34" s="25"/>
      <c r="H34" s="25"/>
      <c r="I34" s="25"/>
      <c r="J34" s="25"/>
    </row>
    <row r="35" spans="7:10" x14ac:dyDescent="0.25">
      <c r="G35" s="25"/>
      <c r="H35" s="25"/>
      <c r="I35" s="25"/>
      <c r="J35" s="25"/>
    </row>
  </sheetData>
  <autoFilter ref="B10:J10" xr:uid="{00000000-0009-0000-0000-000000000000}"/>
  <mergeCells count="6">
    <mergeCell ref="F6:J6"/>
    <mergeCell ref="F1:J1"/>
    <mergeCell ref="G2:J2"/>
    <mergeCell ref="G3:J3"/>
    <mergeCell ref="G4:J4"/>
    <mergeCell ref="G5:J5"/>
  </mergeCells>
  <hyperlinks>
    <hyperlink ref="C11" r:id="rId1" tooltip="Supplier" display="'538-53398-0471" xr:uid="{9061BE86-D6EF-49D7-962B-67E1883E2437}"/>
    <hyperlink ref="C12" r:id="rId2" tooltip="Supplier" display="'538-53398-0571" xr:uid="{6882942F-16B8-4FB8-B1AA-0FF4CB3260B5}"/>
    <hyperlink ref="C13" r:id="rId3" tooltip="Supplier" display="'538-53398-0671" xr:uid="{E22C5252-3ED4-4E31-B4F1-A03F659B96BE}"/>
    <hyperlink ref="C14" r:id="rId4" tooltip="Supplier" display="'855-M20-9980745" xr:uid="{80D3B1C4-4188-40CF-B438-206A895E73BF}"/>
    <hyperlink ref="C15" r:id="rId5" tooltip="Supplier" display="'455-2879-ND" xr:uid="{12F9460A-902B-4AEF-9C0E-6DF9E3A4C914}"/>
    <hyperlink ref="E11" r:id="rId6" tooltip="Supplier" display="'WM7608CT-ND" xr:uid="{1EADE92C-E545-4CA6-8AA1-9ABB0F362E44}"/>
    <hyperlink ref="E12" r:id="rId7" tooltip="Supplier" display="'WM7609CT-ND" xr:uid="{42A54166-63CF-4954-B88F-DF311214561E}"/>
    <hyperlink ref="E13" r:id="rId8" tooltip="Supplier" display="'WM7610DKR-ND" xr:uid="{30813735-ED4E-436A-A6FF-834CB8F5FAFF}"/>
    <hyperlink ref="E14" r:id="rId9" tooltip="Supplier" display="'952-1932-ND" xr:uid="{C5D14E4B-9F87-4A72-84C1-CF72E1BB7D65}"/>
    <hyperlink ref="E15" tooltip="Supplier" display="'" xr:uid="{94D5CA34-BD99-496E-9E85-2F0810179B62}"/>
  </hyperlinks>
  <pageMargins left="0.25" right="0.25" top="0.75" bottom="0.75" header="0.3" footer="0.3"/>
  <pageSetup paperSize="9" scale="58" fitToHeight="0" orientation="landscape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Castro de Azeredo</dc:creator>
  <cp:lastModifiedBy>Yan Castro de Azeredo</cp:lastModifiedBy>
  <cp:lastPrinted>2017-04-10T14:11:50Z</cp:lastPrinted>
  <dcterms:created xsi:type="dcterms:W3CDTF">2015-04-08T20:36:22Z</dcterms:created>
  <dcterms:modified xsi:type="dcterms:W3CDTF">2020-07-01T16:45:04Z</dcterms:modified>
</cp:coreProperties>
</file>