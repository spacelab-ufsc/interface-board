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yanaz\OneDrive\Área de Trabalho\SpaceLab\FloripaSat-2\Hardware Development\interface-board\semi_usb_interface\Output files of all boards\Bill of Materials\"/>
    </mc:Choice>
  </mc:AlternateContent>
  <xr:revisionPtr revIDLastSave="0" documentId="8_{DF2A38E1-E9E5-49D2-921D-79FA589C857D}" xr6:coauthVersionLast="45" xr6:coauthVersionMax="45" xr10:uidLastSave="{00000000-0000-0000-0000-000000000000}"/>
  <bookViews>
    <workbookView xWindow="1830" yWindow="1830" windowWidth="15375" windowHeight="7875" xr2:uid="{00000000-000D-0000-FFFF-FFFF00000000}"/>
  </bookViews>
  <sheets>
    <sheet name="BO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5" i="1" l="1"/>
  <c r="A14" i="1"/>
  <c r="A13" i="1"/>
  <c r="I16" i="1" l="1"/>
  <c r="J15" i="1" s="1"/>
  <c r="A12" i="1"/>
  <c r="A11" i="1"/>
  <c r="J8" i="1"/>
  <c r="F8" i="1"/>
  <c r="E8" i="1"/>
  <c r="J7" i="1"/>
  <c r="J12" i="1" l="1"/>
  <c r="J13" i="1"/>
  <c r="J14" i="1"/>
  <c r="J11" i="1"/>
  <c r="J16" i="1" s="1"/>
</calcChain>
</file>

<file path=xl/sharedStrings.xml><?xml version="1.0" encoding="utf-8"?>
<sst xmlns="http://schemas.openxmlformats.org/spreadsheetml/2006/main" count="56" uniqueCount="52">
  <si>
    <t>Quotation</t>
  </si>
  <si>
    <t>Source Data From:</t>
  </si>
  <si>
    <t>Project:</t>
  </si>
  <si>
    <t>Variant:</t>
  </si>
  <si>
    <t>Project Code:</t>
  </si>
  <si>
    <t>Report Date:</t>
  </si>
  <si>
    <t>Date:</t>
  </si>
  <si>
    <t>Print Date:</t>
  </si>
  <si>
    <t>Dolar:</t>
  </si>
  <si>
    <t>#</t>
  </si>
  <si>
    <t>Percentage</t>
  </si>
  <si>
    <t>TOTAL</t>
  </si>
  <si>
    <t>2_IIP_RBF.BomDoc</t>
  </si>
  <si>
    <t>2_IIP_RBF.PrjPCB</t>
  </si>
  <si>
    <t>None</t>
  </si>
  <si>
    <t>&lt;Parameter ProductCode not found&gt;</t>
  </si>
  <si>
    <t>1</t>
  </si>
  <si>
    <t>19/07/2020</t>
  </si>
  <si>
    <t>00:33</t>
  </si>
  <si>
    <t>Supplier 1</t>
  </si>
  <si>
    <t>Mouser</t>
  </si>
  <si>
    <t>Supplier Part Number 1</t>
  </si>
  <si>
    <t>538-53398-0671</t>
  </si>
  <si>
    <t>538-53398-0471</t>
  </si>
  <si>
    <t>855-M20-9980745</t>
  </si>
  <si>
    <t>855-M20-9990245</t>
  </si>
  <si>
    <t>538-53398-0571</t>
  </si>
  <si>
    <t>Manufacturer Part Number 1</t>
  </si>
  <si>
    <t>53398-0671</t>
  </si>
  <si>
    <t>M20-9980745</t>
  </si>
  <si>
    <t>M20-9990245</t>
  </si>
  <si>
    <t>Name</t>
  </si>
  <si>
    <t>6 pin Picoblade</t>
  </si>
  <si>
    <t>4 pin Picoblade</t>
  </si>
  <si>
    <t>7 POS dual line Pin Header 2.54mm</t>
  </si>
  <si>
    <t>2 POS Pin Header</t>
  </si>
  <si>
    <t>5 pin PicoBlade</t>
  </si>
  <si>
    <t>Description</t>
  </si>
  <si>
    <t>1.25mm Pitch PicoBlade™ Header, Surface Mount, Vertical, 6 Circuits</t>
  </si>
  <si>
    <t>Connector Header Surface Mount 4 position 0.049" (1.25mm)</t>
  </si>
  <si>
    <t>Headers &amp; Wire Housings 07+07 DIL VERTICAL PIN HEADER GOLD HT</t>
  </si>
  <si>
    <t>M20 HDR, PIN, SIL, VERT, 2W</t>
  </si>
  <si>
    <t>Wire-To-Board Connector, Vertical, PicoBlade 53398 Series, Surface Mount, Header, 5, 1.25 mm</t>
  </si>
  <si>
    <t>Quantity</t>
  </si>
  <si>
    <t>Designator</t>
  </si>
  <si>
    <t>CN3, CN7</t>
  </si>
  <si>
    <t>CN5</t>
  </si>
  <si>
    <t>CN2, CN6</t>
  </si>
  <si>
    <t>CN1</t>
  </si>
  <si>
    <t>CN4</t>
  </si>
  <si>
    <t>Supplier Unit Price 1</t>
  </si>
  <si>
    <t>Supplier Stock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</si>
</sst>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R$&quot;* #,##0.00_);_(&quot;R$&quot;* \(#,##0.00\);_(&quot;R$&quot;* &quot;-&quot;??_);_(@_)"/>
    <numFmt numFmtId="164" formatCode="dd/mm/yyyy;@"/>
    <numFmt numFmtId="165" formatCode="hh:mm:ss;@"/>
    <numFmt numFmtId="166" formatCode="_-[$R$-416]* #,##0.0000_-;\-[$R$-416]* #,##0.0000_-;_-[$R$-416]* &quot;-&quot;??_-;_-@_-"/>
    <numFmt numFmtId="167" formatCode="_([$$-409]* #,##0.00_);_([$$-409]* \(#,##0.00\);_([$$-409]* &quot;-&quot;??_);_(@_)"/>
    <numFmt numFmtId="168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 applyAlignment="1">
      <alignment vertical="center"/>
    </xf>
    <xf numFmtId="0" fontId="1" fillId="0" borderId="0" xfId="0" applyFont="1"/>
    <xf numFmtId="0" fontId="1" fillId="2" borderId="5" xfId="0" applyFont="1" applyFill="1" applyBorder="1"/>
    <xf numFmtId="0" fontId="1" fillId="2" borderId="0" xfId="0" applyFont="1" applyFill="1"/>
    <xf numFmtId="0" fontId="3" fillId="2" borderId="6" xfId="0" applyFont="1" applyFill="1" applyBorder="1"/>
    <xf numFmtId="0" fontId="3" fillId="0" borderId="4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1" fillId="2" borderId="6" xfId="0" applyFont="1" applyFill="1" applyBorder="1"/>
    <xf numFmtId="0" fontId="4" fillId="0" borderId="7" xfId="0" applyFont="1" applyBorder="1" applyAlignment="1">
      <alignment horizontal="right"/>
    </xf>
    <xf numFmtId="0" fontId="5" fillId="2" borderId="0" xfId="0" applyFont="1" applyFill="1" applyAlignment="1">
      <alignment horizontal="left"/>
    </xf>
    <xf numFmtId="0" fontId="1" fillId="2" borderId="4" xfId="0" applyFont="1" applyFill="1" applyBorder="1" applyAlignment="1">
      <alignment horizontal="right"/>
    </xf>
    <xf numFmtId="22" fontId="1" fillId="2" borderId="4" xfId="0" applyNumberFormat="1" applyFont="1" applyFill="1" applyBorder="1"/>
    <xf numFmtId="0" fontId="5" fillId="0" borderId="7" xfId="0" applyFont="1" applyBorder="1" applyAlignment="1">
      <alignment horizontal="right"/>
    </xf>
    <xf numFmtId="164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left"/>
    </xf>
    <xf numFmtId="165" fontId="5" fillId="2" borderId="0" xfId="0" applyNumberFormat="1" applyFont="1" applyFill="1" applyAlignment="1">
      <alignment horizontal="left"/>
    </xf>
    <xf numFmtId="166" fontId="1" fillId="2" borderId="4" xfId="0" applyNumberFormat="1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6" fillId="3" borderId="13" xfId="0" quotePrefix="1" applyFont="1" applyFill="1" applyBorder="1" applyAlignment="1">
      <alignment horizontal="center"/>
    </xf>
    <xf numFmtId="0" fontId="6" fillId="3" borderId="4" xfId="0" quotePrefix="1" applyFont="1" applyFill="1" applyBorder="1" applyAlignment="1">
      <alignment horizontal="center"/>
    </xf>
    <xf numFmtId="0" fontId="7" fillId="0" borderId="0" xfId="0" applyFont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167" fontId="7" fillId="0" borderId="4" xfId="1" applyNumberFormat="1" applyFont="1" applyBorder="1" applyAlignment="1">
      <alignment horizontal="center" vertical="center" wrapText="1"/>
    </xf>
    <xf numFmtId="9" fontId="7" fillId="0" borderId="4" xfId="2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168" fontId="8" fillId="0" borderId="4" xfId="0" applyNumberFormat="1" applyFont="1" applyBorder="1"/>
    <xf numFmtId="9" fontId="8" fillId="0" borderId="4" xfId="2" applyFont="1" applyBorder="1"/>
    <xf numFmtId="0" fontId="7" fillId="0" borderId="4" xfId="0" applyFont="1" applyBorder="1"/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4" xfId="0" quotePrefix="1" applyFont="1" applyBorder="1" applyAlignment="1">
      <alignment horizontal="left"/>
    </xf>
    <xf numFmtId="0" fontId="5" fillId="0" borderId="4" xfId="0" quotePrefix="1" applyFont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2</xdr:col>
      <xdr:colOff>1064768</xdr:colOff>
      <xdr:row>8</xdr:row>
      <xdr:rowOff>186690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63BA5B67-9E58-4C39-A606-A70D3C2AF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664968" cy="15963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anaz\OneDrive\&#193;rea%20de%20Trabalho\SpaceLab\FloripaSat-2\Hardware%20Development\interface-board\semi_usb_interface\Source%20of%20all%20boards\3_IIP_QuadUART\Template_QUO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"/>
      <sheetName val="Quote $"/>
    </sheetNames>
    <sheetDataSet>
      <sheetData sheetId="0"/>
      <sheetData sheetId="1">
        <row r="11">
          <cell r="B11">
            <v>5.3230000000000004</v>
          </cell>
          <cell r="C11">
            <v>5.3259999999999996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C21" sqref="C21"/>
    </sheetView>
  </sheetViews>
  <sheetFormatPr defaultColWidth="9.140625" defaultRowHeight="15" x14ac:dyDescent="0.25"/>
  <cols>
    <col min="1" max="1" width="4.7109375" style="4" customWidth="1"/>
    <col min="2" max="2" width="19.28515625" style="4" customWidth="1"/>
    <col min="3" max="3" width="36.28515625" style="4" customWidth="1"/>
    <col min="4" max="4" width="23.5703125" style="4" customWidth="1"/>
    <col min="5" max="5" width="29.5703125" style="4" customWidth="1"/>
    <col min="6" max="6" width="26.140625" style="4" customWidth="1"/>
    <col min="7" max="7" width="21.7109375" style="4" customWidth="1"/>
    <col min="8" max="8" width="24.42578125" style="4" customWidth="1"/>
    <col min="9" max="9" width="24.85546875" style="4" customWidth="1"/>
    <col min="10" max="10" width="15.85546875" style="4" customWidth="1"/>
    <col min="11" max="11" width="25.42578125" style="4" customWidth="1"/>
    <col min="12" max="12" width="12.85546875" style="4" bestFit="1" customWidth="1"/>
    <col min="13" max="16384" width="9.140625" style="4"/>
  </cols>
  <sheetData>
    <row r="1" spans="1:12" ht="28.5" x14ac:dyDescent="0.25">
      <c r="A1" s="1"/>
      <c r="B1" s="2"/>
      <c r="C1" s="3"/>
      <c r="D1" s="38" t="s">
        <v>0</v>
      </c>
      <c r="E1" s="38"/>
      <c r="F1" s="38"/>
      <c r="G1" s="38"/>
      <c r="H1" s="38"/>
      <c r="I1" s="38"/>
      <c r="J1" s="38"/>
      <c r="K1" s="38"/>
    </row>
    <row r="2" spans="1:12" x14ac:dyDescent="0.25">
      <c r="A2" s="5"/>
      <c r="B2" s="6"/>
      <c r="C2" s="7"/>
      <c r="D2" s="8" t="s">
        <v>1</v>
      </c>
      <c r="E2" s="43" t="s">
        <v>12</v>
      </c>
      <c r="F2" s="39"/>
      <c r="G2" s="39"/>
      <c r="H2" s="39"/>
      <c r="I2" s="39"/>
      <c r="J2" s="39"/>
      <c r="K2" s="39"/>
    </row>
    <row r="3" spans="1:12" x14ac:dyDescent="0.25">
      <c r="A3" s="5"/>
      <c r="B3" s="6"/>
      <c r="C3" s="7"/>
      <c r="D3" s="8" t="s">
        <v>2</v>
      </c>
      <c r="E3" s="43" t="s">
        <v>13</v>
      </c>
      <c r="F3" s="39"/>
      <c r="G3" s="39"/>
      <c r="H3" s="39"/>
      <c r="I3" s="39"/>
      <c r="J3" s="39"/>
      <c r="K3" s="39"/>
    </row>
    <row r="4" spans="1:12" x14ac:dyDescent="0.25">
      <c r="A4" s="5"/>
      <c r="B4" s="6"/>
      <c r="C4" s="7"/>
      <c r="D4" s="8" t="s">
        <v>3</v>
      </c>
      <c r="E4" s="43" t="s">
        <v>14</v>
      </c>
      <c r="F4" s="39"/>
      <c r="G4" s="39"/>
      <c r="H4" s="39"/>
      <c r="I4" s="39"/>
      <c r="J4" s="39"/>
      <c r="K4" s="39"/>
    </row>
    <row r="5" spans="1:12" x14ac:dyDescent="0.25">
      <c r="A5" s="5"/>
      <c r="B5" s="6"/>
      <c r="C5" s="7"/>
      <c r="D5" s="9" t="s">
        <v>4</v>
      </c>
      <c r="E5" s="40" t="s">
        <v>15</v>
      </c>
      <c r="F5" s="41"/>
      <c r="G5" s="41"/>
      <c r="H5" s="42"/>
      <c r="I5" s="43" t="s">
        <v>16</v>
      </c>
      <c r="J5" s="39"/>
      <c r="K5" s="39"/>
    </row>
    <row r="6" spans="1:12" x14ac:dyDescent="0.25">
      <c r="A6" s="5"/>
      <c r="B6" s="6"/>
      <c r="C6" s="7"/>
      <c r="D6" s="10"/>
      <c r="E6" s="10"/>
      <c r="F6" s="10"/>
      <c r="G6" s="10"/>
      <c r="H6" s="10"/>
      <c r="I6" s="6"/>
      <c r="J6" s="6"/>
      <c r="K6" s="6"/>
    </row>
    <row r="7" spans="1:12" x14ac:dyDescent="0.25">
      <c r="A7" s="5"/>
      <c r="B7" s="6"/>
      <c r="C7" s="11"/>
      <c r="D7" s="12" t="s">
        <v>5</v>
      </c>
      <c r="E7" s="44" t="s">
        <v>17</v>
      </c>
      <c r="F7" s="44" t="s">
        <v>18</v>
      </c>
      <c r="G7" s="13"/>
      <c r="H7" s="6"/>
      <c r="I7" s="14" t="s">
        <v>6</v>
      </c>
      <c r="J7" s="15">
        <f>'[1]Quote $'!B11</f>
        <v>5.3230000000000004</v>
      </c>
    </row>
    <row r="8" spans="1:12" x14ac:dyDescent="0.25">
      <c r="A8" s="5"/>
      <c r="B8" s="6"/>
      <c r="C8" s="11"/>
      <c r="D8" s="16" t="s">
        <v>7</v>
      </c>
      <c r="E8" s="17">
        <f ca="1">TODAY()</f>
        <v>44031</v>
      </c>
      <c r="F8" s="18">
        <f ca="1">NOW()</f>
        <v>44031.023117939818</v>
      </c>
      <c r="G8" s="19"/>
      <c r="H8" s="6"/>
      <c r="I8" s="14" t="s">
        <v>8</v>
      </c>
      <c r="J8" s="20">
        <f>'[1]Quote $'!C11</f>
        <v>5.3259999999999996</v>
      </c>
      <c r="K8" s="6"/>
    </row>
    <row r="9" spans="1:12" x14ac:dyDescent="0.25">
      <c r="A9" s="21"/>
      <c r="B9" s="22"/>
      <c r="C9" s="23"/>
      <c r="E9" s="6"/>
      <c r="F9" s="6"/>
      <c r="G9" s="6"/>
      <c r="H9" s="6"/>
      <c r="I9" s="6"/>
      <c r="J9" s="6"/>
      <c r="K9" s="6"/>
    </row>
    <row r="10" spans="1:12" x14ac:dyDescent="0.25">
      <c r="A10" s="24" t="s">
        <v>9</v>
      </c>
      <c r="B10" s="24" t="s">
        <v>19</v>
      </c>
      <c r="C10" s="24" t="s">
        <v>21</v>
      </c>
      <c r="D10" s="25" t="s">
        <v>27</v>
      </c>
      <c r="E10" s="25" t="s">
        <v>31</v>
      </c>
      <c r="F10" s="25" t="s">
        <v>37</v>
      </c>
      <c r="G10" s="25" t="s">
        <v>43</v>
      </c>
      <c r="H10" s="25" t="s">
        <v>44</v>
      </c>
      <c r="I10" s="25" t="s">
        <v>50</v>
      </c>
      <c r="J10" s="25" t="s">
        <v>10</v>
      </c>
      <c r="K10" s="25" t="s">
        <v>51</v>
      </c>
      <c r="L10" s="26"/>
    </row>
    <row r="11" spans="1:12" ht="38.25" x14ac:dyDescent="0.25">
      <c r="A11" s="27">
        <f>ROW(A11) - ROW($A$10)</f>
        <v>1</v>
      </c>
      <c r="B11" s="28" t="s">
        <v>20</v>
      </c>
      <c r="C11" s="28" t="s">
        <v>22</v>
      </c>
      <c r="D11" s="28" t="s">
        <v>28</v>
      </c>
      <c r="E11" s="28" t="s">
        <v>32</v>
      </c>
      <c r="F11" s="28" t="s">
        <v>38</v>
      </c>
      <c r="G11" s="28">
        <v>2</v>
      </c>
      <c r="H11" s="28" t="s">
        <v>45</v>
      </c>
      <c r="I11" s="29">
        <v>1.1499999999999999</v>
      </c>
      <c r="J11" s="30">
        <f>G11*I11/$I$16</f>
        <v>0.3951890034364261</v>
      </c>
      <c r="K11" s="28">
        <v>13184</v>
      </c>
    </row>
    <row r="12" spans="1:12" ht="38.25" x14ac:dyDescent="0.25">
      <c r="A12" s="27">
        <f t="shared" ref="A12:A15" si="0">ROW(A12) - ROW($A$10)</f>
        <v>2</v>
      </c>
      <c r="B12" s="28" t="s">
        <v>20</v>
      </c>
      <c r="C12" s="28" t="s">
        <v>23</v>
      </c>
      <c r="D12" s="28">
        <v>533980471</v>
      </c>
      <c r="E12" s="28" t="s">
        <v>33</v>
      </c>
      <c r="F12" s="28" t="s">
        <v>39</v>
      </c>
      <c r="G12" s="28">
        <v>1</v>
      </c>
      <c r="H12" s="28" t="s">
        <v>46</v>
      </c>
      <c r="I12" s="29">
        <v>0.98</v>
      </c>
      <c r="J12" s="30">
        <f>G12*I12/$I$16</f>
        <v>0.16838487972508592</v>
      </c>
      <c r="K12" s="28">
        <v>39356</v>
      </c>
    </row>
    <row r="13" spans="1:12" ht="38.25" x14ac:dyDescent="0.25">
      <c r="A13" s="27">
        <f>ROW(A13) - ROW($A$10)</f>
        <v>3</v>
      </c>
      <c r="B13" s="28" t="s">
        <v>20</v>
      </c>
      <c r="C13" s="28" t="s">
        <v>24</v>
      </c>
      <c r="D13" s="28" t="s">
        <v>29</v>
      </c>
      <c r="E13" s="28" t="s">
        <v>34</v>
      </c>
      <c r="F13" s="28" t="s">
        <v>40</v>
      </c>
      <c r="G13" s="28">
        <v>2</v>
      </c>
      <c r="H13" s="28" t="s">
        <v>47</v>
      </c>
      <c r="I13" s="29">
        <v>0.54</v>
      </c>
      <c r="J13" s="30">
        <f>G13*I13/$I$16</f>
        <v>0.18556701030927839</v>
      </c>
      <c r="K13" s="28">
        <v>1155</v>
      </c>
    </row>
    <row r="14" spans="1:12" x14ac:dyDescent="0.25">
      <c r="A14" s="27">
        <f t="shared" si="0"/>
        <v>4</v>
      </c>
      <c r="B14" s="28" t="s">
        <v>20</v>
      </c>
      <c r="C14" s="28" t="s">
        <v>25</v>
      </c>
      <c r="D14" s="28" t="s">
        <v>30</v>
      </c>
      <c r="E14" s="28" t="s">
        <v>35</v>
      </c>
      <c r="F14" s="28" t="s">
        <v>41</v>
      </c>
      <c r="G14" s="28">
        <v>1</v>
      </c>
      <c r="H14" s="28" t="s">
        <v>48</v>
      </c>
      <c r="I14" s="29">
        <v>0.14000000000000001</v>
      </c>
      <c r="J14" s="30">
        <f>G14*I14/$I$16</f>
        <v>2.4054982817869421E-2</v>
      </c>
      <c r="K14" s="28">
        <v>17310</v>
      </c>
    </row>
    <row r="15" spans="1:12" ht="51" x14ac:dyDescent="0.25">
      <c r="A15" s="27">
        <f>ROW(A15) - ROW($A$10)</f>
        <v>5</v>
      </c>
      <c r="B15" s="28" t="s">
        <v>20</v>
      </c>
      <c r="C15" s="28" t="s">
        <v>26</v>
      </c>
      <c r="D15" s="28">
        <v>533980571</v>
      </c>
      <c r="E15" s="28" t="s">
        <v>36</v>
      </c>
      <c r="F15" s="28" t="s">
        <v>42</v>
      </c>
      <c r="G15" s="28">
        <v>1</v>
      </c>
      <c r="H15" s="28" t="s">
        <v>49</v>
      </c>
      <c r="I15" s="29">
        <v>1.32</v>
      </c>
      <c r="J15" s="30">
        <f>G15*I15/$I$16</f>
        <v>0.22680412371134023</v>
      </c>
      <c r="K15" s="28">
        <v>50576</v>
      </c>
    </row>
    <row r="16" spans="1:12" x14ac:dyDescent="0.25">
      <c r="A16" s="36"/>
      <c r="B16" s="36"/>
      <c r="C16" s="36"/>
      <c r="D16" s="36"/>
      <c r="E16" s="36"/>
      <c r="F16" s="36"/>
      <c r="G16" s="37"/>
      <c r="H16" s="31" t="s">
        <v>11</v>
      </c>
      <c r="I16" s="32">
        <f>SUMPRODUCT(G11:G15,I11:I15)</f>
        <v>5.8199999999999994</v>
      </c>
      <c r="J16" s="33">
        <f>SUM(J11:J15)</f>
        <v>1</v>
      </c>
      <c r="K16" s="34"/>
    </row>
    <row r="19" spans="5:10" ht="28.5" x14ac:dyDescent="0.25">
      <c r="E19" s="35"/>
      <c r="F19" s="35"/>
      <c r="G19" s="35"/>
      <c r="H19" s="35"/>
      <c r="I19" s="35"/>
      <c r="J19" s="35"/>
    </row>
  </sheetData>
  <mergeCells count="7">
    <mergeCell ref="A16:G16"/>
    <mergeCell ref="D1:K1"/>
    <mergeCell ref="E2:K2"/>
    <mergeCell ref="E3:K3"/>
    <mergeCell ref="E4:K4"/>
    <mergeCell ref="E5:H5"/>
    <mergeCell ref="I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Castro de Azeredo</dc:creator>
  <cp:lastModifiedBy>Yan Castro de Azeredo</cp:lastModifiedBy>
  <dcterms:created xsi:type="dcterms:W3CDTF">2015-06-05T18:19:34Z</dcterms:created>
  <dcterms:modified xsi:type="dcterms:W3CDTF">2020-07-19T03:33:17Z</dcterms:modified>
</cp:coreProperties>
</file>