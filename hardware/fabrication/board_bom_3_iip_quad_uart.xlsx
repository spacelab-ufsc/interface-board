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xr:revisionPtr revIDLastSave="0" documentId="8_{F099DBF5-3C7C-4989-B19B-408C9AD65C04}" xr6:coauthVersionLast="47" xr6:coauthVersionMax="47" xr10:uidLastSave="{00000000-0000-0000-0000-000000000000}"/>
  <bookViews>
    <workbookView xWindow="3615" yWindow="2295" windowWidth="15375" windowHeight="7875" xr2:uid="{00000000-000D-0000-FFFF-FFFF00000000}"/>
  </bookViews>
  <sheets>
    <sheet name="Plan1" sheetId="1" r:id="rId1"/>
  </sheets>
  <definedNames>
    <definedName name="_xlnm._FilterDatabase" localSheetId="0" hidden="1">Plan1!$G$10:$K$10</definedName>
    <definedName name="_xlnm.Print_Area" localSheetId="0">Plan1!$A$1:$K$24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1" l="1"/>
  <c r="A23" i="1"/>
  <c r="A22" i="1"/>
  <c r="A21" i="1"/>
  <c r="A20" i="1"/>
  <c r="A19" i="1"/>
  <c r="A18" i="1"/>
  <c r="A17" i="1"/>
  <c r="A16" i="1"/>
  <c r="A15" i="1"/>
  <c r="A14" i="1"/>
  <c r="A13" i="1"/>
  <c r="F7" i="1"/>
  <c r="E7" i="1"/>
  <c r="A12" i="1" l="1"/>
  <c r="A11" i="1"/>
</calcChain>
</file>

<file path=xl/sharedStrings.xml><?xml version="1.0" encoding="utf-8"?>
<sst xmlns="http://schemas.openxmlformats.org/spreadsheetml/2006/main" count="80" uniqueCount="65">
  <si>
    <t>Source Data From:</t>
  </si>
  <si>
    <t>Project:</t>
  </si>
  <si>
    <t>Variant:</t>
  </si>
  <si>
    <t>Report Date:</t>
  </si>
  <si>
    <t>Print Date:</t>
  </si>
  <si>
    <t>#</t>
  </si>
  <si>
    <t>Bill of Materials</t>
  </si>
  <si>
    <t>Project Code:</t>
  </si>
  <si>
    <t>3_iip_quad_uart.PrjPCB</t>
  </si>
  <si>
    <t>None</t>
  </si>
  <si>
    <t>IIPN3</t>
  </si>
  <si>
    <t>6/28/2021</t>
  </si>
  <si>
    <t>10:34:26 PM</t>
  </si>
  <si>
    <t>Designator</t>
  </si>
  <si>
    <t>C1, C3, C4, C7, C9, C11, C13, C17, C18, C19, C20, C21, C22, C23</t>
  </si>
  <si>
    <t>C2, C5, C6, C10, C12</t>
  </si>
  <si>
    <t>FB1, FB2, FB3</t>
  </si>
  <si>
    <t>R5, R6, R7</t>
  </si>
  <si>
    <t>C8, C14</t>
  </si>
  <si>
    <t>CN1, CN3</t>
  </si>
  <si>
    <t>C15, C16</t>
  </si>
  <si>
    <t>R1, R2</t>
  </si>
  <si>
    <t>CN2</t>
  </si>
  <si>
    <t>XTAL1</t>
  </si>
  <si>
    <t>R4</t>
  </si>
  <si>
    <t>U1</t>
  </si>
  <si>
    <t>R3</t>
  </si>
  <si>
    <t>U2</t>
  </si>
  <si>
    <t>Quantity</t>
  </si>
  <si>
    <t>#Column Name Error:Manufacturer</t>
  </si>
  <si>
    <t>Manufacturer Part Number</t>
  </si>
  <si>
    <t>C1608X7R1H104K080AA</t>
  </si>
  <si>
    <t>C2012X7R1E475K125AB</t>
  </si>
  <si>
    <t>742792608</t>
  </si>
  <si>
    <t>CRCW080510K0FKEA</t>
  </si>
  <si>
    <t>08055C103KAT4A</t>
  </si>
  <si>
    <t>53398-0571</t>
  </si>
  <si>
    <t>CL10C120JB8NNNC</t>
  </si>
  <si>
    <t>RC0603FR-0710RL</t>
  </si>
  <si>
    <t>651005136421</t>
  </si>
  <si>
    <t>AA-12.000MAGE-T</t>
  </si>
  <si>
    <t>CRCW08050000Z0EA</t>
  </si>
  <si>
    <t>FT4232HL-REEL</t>
  </si>
  <si>
    <t>RMCF0805FT12K0</t>
  </si>
  <si>
    <t>TPS79333DBVR</t>
  </si>
  <si>
    <t>#Column Name Error:Partnumber</t>
  </si>
  <si>
    <t>Description</t>
  </si>
  <si>
    <t>TDK - C1608X7R1H104K080AA - SMD Multilayer Ceramic Capacitor, 0.1 µF, 50 V, 0603 [1608 Metric], ± 10%, X7R, C Series</t>
  </si>
  <si>
    <t>Ceramic Capacitor SMD Multilayer, 0805 [2012 Metric], 4.7 uF, 25 V,  10%, X7R, C Series</t>
  </si>
  <si>
    <t>WURTH ELEKTRONIK   742792608   FERRITE BEAD, 0.1 OHM, 0.5A, 0603</t>
  </si>
  <si>
    <t>RES 10.0K OHM 1/8W 1% 0805 SMD</t>
  </si>
  <si>
    <t>AVX - 08055C103KAT4A - SMD Multilayer Ceramic Capacitor, 10000 pF, 50 V, 0805 [2012 Metric], &amp;#177; 10%, X7R</t>
  </si>
  <si>
    <t>Wire-To-Board Connector, Vertical, PicoBlade 53398 Series, Surface Mount, Header, 5, 1.25 mm</t>
  </si>
  <si>
    <t>Cap Ceramic 12pF 50VDC C0G 5% SMD 0603 Paper T/R</t>
  </si>
  <si>
    <t>YAGEO (PHYCOMP) - RC0603FR-0710RL - RES, THICK FILM, 10R, 1%, 0.1W, 0603</t>
  </si>
  <si>
    <t>WURTH ELEKTRONIK - 651005136421 - Conector USB, Mini USB Tipo B, USB 2.0, Receptáculo, 5 Vías, Montaje de Agujero Pasante, Vertical</t>
  </si>
  <si>
    <t>Crystals 12.000MHz 30ppm 12pF -40C to 85C</t>
  </si>
  <si>
    <t>VISHAY - CRCW08050000Z0EA - SMD Chip Resistor, Jumper, 0805 [2012 Metric], 0 ohm, CRCW e3 Series, 150 V, Thick Film, 125 mW</t>
  </si>
  <si>
    <t>FTDI - FT4232HL-REEL - USB-UART/MPSSE, 4232, QUAD, 64LQFP</t>
  </si>
  <si>
    <t>Resistor, SMT, 0805, 12K Ohm, +/-1%, +/-100ppm, Thk Film, T/R Marked</t>
  </si>
  <si>
    <t>TEXAS INSTRUMENTS - TPS79333DBVR - IC, V REG, LINEAR, 0.2A, SOT-23-5</t>
  </si>
  <si>
    <t>#Column Name Error:Package</t>
  </si>
  <si>
    <t>#Column Name Error:Footprint</t>
  </si>
  <si>
    <t>#Column Name Error:Mount</t>
  </si>
  <si>
    <t>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</si>
</sst>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:ss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5" xfId="0" applyFont="1" applyFill="1" applyBorder="1"/>
    <xf numFmtId="0" fontId="1" fillId="0" borderId="0" xfId="0" applyFont="1" applyFill="1"/>
    <xf numFmtId="0" fontId="1" fillId="0" borderId="0" xfId="0" applyFont="1"/>
    <xf numFmtId="0" fontId="1" fillId="3" borderId="3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/>
    <xf numFmtId="164" fontId="5" fillId="0" borderId="1" xfId="0" applyNumberFormat="1" applyFont="1" applyFill="1" applyBorder="1" applyAlignment="1">
      <alignment horizontal="left"/>
    </xf>
    <xf numFmtId="165" fontId="5" fillId="0" borderId="1" xfId="0" applyNumberFormat="1" applyFont="1" applyFill="1" applyBorder="1" applyAlignment="1">
      <alignment horizontal="left"/>
    </xf>
    <xf numFmtId="0" fontId="1" fillId="3" borderId="6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/>
    <xf numFmtId="0" fontId="6" fillId="2" borderId="1" xfId="0" quotePrefix="1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3" borderId="4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191767</xdr:rowOff>
    </xdr:from>
    <xdr:to>
      <xdr:col>2</xdr:col>
      <xdr:colOff>762000</xdr:colOff>
      <xdr:row>7</xdr:row>
      <xdr:rowOff>88991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6EA9836-536E-44C0-B283-ED5A8731F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1767"/>
          <a:ext cx="2000250" cy="1402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tabSelected="1" view="pageBreakPreview" zoomScaleNormal="100" zoomScaleSheetLayoutView="100" workbookViewId="0">
      <selection activeCell="C7" sqref="C7"/>
    </sheetView>
  </sheetViews>
  <sheetFormatPr defaultColWidth="9.140625" defaultRowHeight="15" x14ac:dyDescent="0.25"/>
  <cols>
    <col min="1" max="1" width="4.7109375" style="3" customWidth="1"/>
    <col min="2" max="2" width="16.5703125" style="3" bestFit="1" customWidth="1"/>
    <col min="3" max="3" width="14.85546875" style="3" bestFit="1" customWidth="1"/>
    <col min="4" max="4" width="19" style="3" bestFit="1" customWidth="1"/>
    <col min="5" max="5" width="30.140625" style="3" bestFit="1" customWidth="1"/>
    <col min="6" max="6" width="29.42578125" style="3" bestFit="1" customWidth="1"/>
    <col min="7" max="7" width="24.140625" style="3" customWidth="1"/>
    <col min="8" max="8" width="19" style="3" customWidth="1"/>
    <col min="9" max="9" width="19.85546875" style="3" bestFit="1" customWidth="1"/>
    <col min="10" max="11" width="16" style="3" bestFit="1" customWidth="1"/>
    <col min="12" max="12" width="12.85546875" style="3" bestFit="1" customWidth="1"/>
    <col min="13" max="16384" width="9.140625" style="3"/>
  </cols>
  <sheetData>
    <row r="1" spans="1:13" ht="28.5" x14ac:dyDescent="0.25">
      <c r="A1" s="1"/>
      <c r="B1" s="17"/>
      <c r="C1" s="17"/>
      <c r="D1" s="24" t="s">
        <v>6</v>
      </c>
      <c r="E1" s="25"/>
      <c r="F1" s="26"/>
      <c r="G1" s="18"/>
      <c r="H1" s="18"/>
      <c r="I1" s="18"/>
      <c r="J1" s="18"/>
      <c r="K1" s="18"/>
      <c r="L1" s="2"/>
      <c r="M1" s="2"/>
    </row>
    <row r="2" spans="1:13" x14ac:dyDescent="0.25">
      <c r="A2" s="4"/>
      <c r="B2" s="5"/>
      <c r="C2" s="5"/>
      <c r="D2" s="21" t="s">
        <v>0</v>
      </c>
      <c r="E2" s="28" t="s">
        <v>8</v>
      </c>
      <c r="F2" s="27"/>
      <c r="G2" s="20"/>
      <c r="H2" s="20"/>
      <c r="I2" s="20"/>
      <c r="J2" s="20"/>
      <c r="K2" s="20"/>
      <c r="L2" s="2"/>
      <c r="M2" s="2"/>
    </row>
    <row r="3" spans="1:13" x14ac:dyDescent="0.25">
      <c r="A3" s="4"/>
      <c r="B3" s="5"/>
      <c r="C3" s="5"/>
      <c r="D3" s="21" t="s">
        <v>1</v>
      </c>
      <c r="E3" s="28" t="s">
        <v>8</v>
      </c>
      <c r="F3" s="27"/>
      <c r="G3" s="20"/>
      <c r="H3" s="20"/>
      <c r="I3" s="20"/>
      <c r="J3" s="20"/>
      <c r="K3" s="20"/>
      <c r="L3" s="2"/>
      <c r="M3" s="2"/>
    </row>
    <row r="4" spans="1:13" x14ac:dyDescent="0.25">
      <c r="A4" s="4"/>
      <c r="B4" s="5"/>
      <c r="C4" s="5"/>
      <c r="D4" s="21" t="s">
        <v>2</v>
      </c>
      <c r="E4" s="28" t="s">
        <v>9</v>
      </c>
      <c r="F4" s="27"/>
      <c r="G4" s="19"/>
      <c r="H4" s="20"/>
      <c r="I4" s="20"/>
      <c r="J4" s="20"/>
      <c r="K4" s="20"/>
      <c r="L4" s="2"/>
      <c r="M4" s="2"/>
    </row>
    <row r="5" spans="1:13" x14ac:dyDescent="0.25">
      <c r="A5" s="4"/>
      <c r="B5" s="5"/>
      <c r="C5" s="5"/>
      <c r="D5" s="21" t="s">
        <v>7</v>
      </c>
      <c r="E5" s="28" t="s">
        <v>10</v>
      </c>
      <c r="F5" s="27"/>
      <c r="G5" s="20"/>
      <c r="H5" s="20"/>
      <c r="I5" s="20"/>
      <c r="J5" s="20"/>
      <c r="K5" s="20"/>
      <c r="L5" s="2"/>
      <c r="M5" s="2"/>
    </row>
    <row r="6" spans="1:13" x14ac:dyDescent="0.25">
      <c r="A6" s="4"/>
      <c r="B6" s="5"/>
      <c r="C6" s="5"/>
      <c r="D6" s="22" t="s">
        <v>3</v>
      </c>
      <c r="E6" s="29" t="s">
        <v>11</v>
      </c>
      <c r="F6" s="29" t="s">
        <v>12</v>
      </c>
      <c r="G6" s="20"/>
      <c r="H6" s="20"/>
      <c r="I6" s="20"/>
      <c r="J6" s="20"/>
      <c r="K6" s="20"/>
      <c r="L6" s="2"/>
      <c r="M6" s="2"/>
    </row>
    <row r="7" spans="1:13" x14ac:dyDescent="0.25">
      <c r="A7" s="4"/>
      <c r="B7" s="5"/>
      <c r="C7" s="5"/>
      <c r="D7" s="23" t="s">
        <v>4</v>
      </c>
      <c r="E7" s="7">
        <f ca="1">TODAY()</f>
        <v>44375</v>
      </c>
      <c r="F7" s="8">
        <f ca="1">NOW()</f>
        <v>44375.940651851852</v>
      </c>
      <c r="G7" s="20"/>
      <c r="H7" s="20"/>
      <c r="I7" s="20"/>
      <c r="J7" s="20"/>
      <c r="K7" s="20"/>
      <c r="L7" s="2"/>
      <c r="M7" s="2"/>
    </row>
    <row r="8" spans="1:13" x14ac:dyDescent="0.25">
      <c r="A8" s="4"/>
      <c r="B8" s="5"/>
      <c r="C8" s="5"/>
      <c r="D8" s="6"/>
      <c r="E8" s="6"/>
      <c r="F8" s="6"/>
      <c r="G8" s="6"/>
      <c r="H8" s="6"/>
      <c r="I8" s="6"/>
      <c r="J8" s="6"/>
      <c r="K8" s="6"/>
      <c r="L8" s="2"/>
      <c r="M8" s="2"/>
    </row>
    <row r="9" spans="1:13" x14ac:dyDescent="0.25">
      <c r="A9" s="9"/>
      <c r="B9" s="10"/>
      <c r="C9" s="10"/>
      <c r="D9" s="11"/>
      <c r="E9" s="11"/>
      <c r="F9" s="11"/>
      <c r="G9" s="11"/>
      <c r="H9" s="11"/>
      <c r="I9" s="11"/>
      <c r="J9" s="11"/>
      <c r="K9" s="11"/>
      <c r="L9" s="2"/>
      <c r="M9" s="2"/>
    </row>
    <row r="10" spans="1:13" x14ac:dyDescent="0.25">
      <c r="A10" s="12" t="s">
        <v>5</v>
      </c>
      <c r="B10" s="12" t="s">
        <v>13</v>
      </c>
      <c r="C10" s="12" t="s">
        <v>28</v>
      </c>
      <c r="D10" s="12" t="s">
        <v>29</v>
      </c>
      <c r="E10" s="12" t="s">
        <v>30</v>
      </c>
      <c r="F10" s="12" t="s">
        <v>45</v>
      </c>
      <c r="G10" s="12" t="s">
        <v>46</v>
      </c>
      <c r="H10" s="12" t="s">
        <v>61</v>
      </c>
      <c r="I10" s="12" t="s">
        <v>62</v>
      </c>
      <c r="J10" s="12" t="s">
        <v>63</v>
      </c>
      <c r="K10" s="12" t="s">
        <v>64</v>
      </c>
      <c r="L10" s="13"/>
    </row>
    <row r="11" spans="1:13" ht="76.5" x14ac:dyDescent="0.25">
      <c r="A11" s="14">
        <f>ROW(A11) - ROW($A$10)</f>
        <v>1</v>
      </c>
      <c r="B11" s="30" t="s">
        <v>14</v>
      </c>
      <c r="C11" s="14">
        <v>14</v>
      </c>
      <c r="D11" s="14"/>
      <c r="E11" s="30" t="s">
        <v>31</v>
      </c>
      <c r="F11" s="14"/>
      <c r="G11" s="31" t="s">
        <v>47</v>
      </c>
      <c r="H11" s="15"/>
      <c r="I11" s="15"/>
      <c r="J11" s="15"/>
      <c r="K11" s="31" t="s">
        <v>64</v>
      </c>
    </row>
    <row r="12" spans="1:13" ht="51" x14ac:dyDescent="0.25">
      <c r="A12" s="14">
        <f t="shared" ref="A12:A24" si="0">ROW(A12) - ROW($A$10)</f>
        <v>2</v>
      </c>
      <c r="B12" s="30" t="s">
        <v>15</v>
      </c>
      <c r="C12" s="14">
        <v>5</v>
      </c>
      <c r="D12" s="14"/>
      <c r="E12" s="30" t="s">
        <v>32</v>
      </c>
      <c r="F12" s="14"/>
      <c r="G12" s="31" t="s">
        <v>48</v>
      </c>
      <c r="H12" s="15"/>
      <c r="I12" s="15"/>
      <c r="J12" s="15"/>
      <c r="K12" s="31" t="s">
        <v>64</v>
      </c>
    </row>
    <row r="13" spans="1:13" ht="38.25" x14ac:dyDescent="0.25">
      <c r="A13" s="14">
        <f>ROW(A13) - ROW($A$10)</f>
        <v>3</v>
      </c>
      <c r="B13" s="30" t="s">
        <v>16</v>
      </c>
      <c r="C13" s="14">
        <v>3</v>
      </c>
      <c r="D13" s="14"/>
      <c r="E13" s="30" t="s">
        <v>33</v>
      </c>
      <c r="F13" s="14"/>
      <c r="G13" s="31" t="s">
        <v>49</v>
      </c>
      <c r="H13" s="15"/>
      <c r="I13" s="15"/>
      <c r="J13" s="15"/>
      <c r="K13" s="31" t="s">
        <v>64</v>
      </c>
    </row>
    <row r="14" spans="1:13" ht="25.5" x14ac:dyDescent="0.25">
      <c r="A14" s="14">
        <f t="shared" si="0"/>
        <v>4</v>
      </c>
      <c r="B14" s="30" t="s">
        <v>17</v>
      </c>
      <c r="C14" s="14">
        <v>3</v>
      </c>
      <c r="D14" s="14"/>
      <c r="E14" s="30" t="s">
        <v>34</v>
      </c>
      <c r="F14" s="14"/>
      <c r="G14" s="31" t="s">
        <v>50</v>
      </c>
      <c r="H14" s="15"/>
      <c r="I14" s="15"/>
      <c r="J14" s="15"/>
      <c r="K14" s="31" t="s">
        <v>64</v>
      </c>
    </row>
    <row r="15" spans="1:13" ht="63.75" x14ac:dyDescent="0.25">
      <c r="A15" s="14">
        <f>ROW(A15) - ROW($A$10)</f>
        <v>5</v>
      </c>
      <c r="B15" s="30" t="s">
        <v>18</v>
      </c>
      <c r="C15" s="14">
        <v>2</v>
      </c>
      <c r="D15" s="14"/>
      <c r="E15" s="30" t="s">
        <v>35</v>
      </c>
      <c r="F15" s="14"/>
      <c r="G15" s="31" t="s">
        <v>51</v>
      </c>
      <c r="H15" s="15"/>
      <c r="I15" s="15"/>
      <c r="J15" s="15"/>
      <c r="K15" s="31" t="s">
        <v>64</v>
      </c>
    </row>
    <row r="16" spans="1:13" ht="51" x14ac:dyDescent="0.25">
      <c r="A16" s="14">
        <f t="shared" si="0"/>
        <v>6</v>
      </c>
      <c r="B16" s="30" t="s">
        <v>19</v>
      </c>
      <c r="C16" s="14">
        <v>2</v>
      </c>
      <c r="D16" s="14"/>
      <c r="E16" s="30" t="s">
        <v>36</v>
      </c>
      <c r="F16" s="14"/>
      <c r="G16" s="31" t="s">
        <v>52</v>
      </c>
      <c r="H16" s="15"/>
      <c r="I16" s="15"/>
      <c r="J16" s="15"/>
      <c r="K16" s="31" t="s">
        <v>64</v>
      </c>
    </row>
    <row r="17" spans="1:11" ht="25.5" x14ac:dyDescent="0.25">
      <c r="A17" s="14">
        <f>ROW(A17) - ROW($A$10)</f>
        <v>7</v>
      </c>
      <c r="B17" s="30" t="s">
        <v>20</v>
      </c>
      <c r="C17" s="14">
        <v>2</v>
      </c>
      <c r="D17" s="14"/>
      <c r="E17" s="30" t="s">
        <v>37</v>
      </c>
      <c r="F17" s="14"/>
      <c r="G17" s="31" t="s">
        <v>53</v>
      </c>
      <c r="H17" s="15"/>
      <c r="I17" s="15"/>
      <c r="J17" s="15"/>
      <c r="K17" s="31" t="s">
        <v>64</v>
      </c>
    </row>
    <row r="18" spans="1:11" ht="51" x14ac:dyDescent="0.25">
      <c r="A18" s="14">
        <f t="shared" si="0"/>
        <v>8</v>
      </c>
      <c r="B18" s="30" t="s">
        <v>21</v>
      </c>
      <c r="C18" s="14">
        <v>2</v>
      </c>
      <c r="D18" s="14"/>
      <c r="E18" s="30" t="s">
        <v>38</v>
      </c>
      <c r="F18" s="14"/>
      <c r="G18" s="31" t="s">
        <v>54</v>
      </c>
      <c r="H18" s="15"/>
      <c r="I18" s="15"/>
      <c r="J18" s="15"/>
      <c r="K18" s="31" t="s">
        <v>64</v>
      </c>
    </row>
    <row r="19" spans="1:11" ht="76.5" x14ac:dyDescent="0.25">
      <c r="A19" s="14">
        <f>ROW(A19) - ROW($A$10)</f>
        <v>9</v>
      </c>
      <c r="B19" s="30" t="s">
        <v>22</v>
      </c>
      <c r="C19" s="14">
        <v>1</v>
      </c>
      <c r="D19" s="14"/>
      <c r="E19" s="30" t="s">
        <v>39</v>
      </c>
      <c r="F19" s="14"/>
      <c r="G19" s="31" t="s">
        <v>55</v>
      </c>
      <c r="H19" s="15"/>
      <c r="I19" s="15"/>
      <c r="J19" s="15"/>
      <c r="K19" s="31" t="s">
        <v>64</v>
      </c>
    </row>
    <row r="20" spans="1:11" ht="25.5" x14ac:dyDescent="0.25">
      <c r="A20" s="14">
        <f t="shared" si="0"/>
        <v>10</v>
      </c>
      <c r="B20" s="30" t="s">
        <v>23</v>
      </c>
      <c r="C20" s="14">
        <v>1</v>
      </c>
      <c r="D20" s="14"/>
      <c r="E20" s="30" t="s">
        <v>40</v>
      </c>
      <c r="F20" s="14"/>
      <c r="G20" s="31" t="s">
        <v>56</v>
      </c>
      <c r="H20" s="15"/>
      <c r="I20" s="15"/>
      <c r="J20" s="15"/>
      <c r="K20" s="31" t="s">
        <v>64</v>
      </c>
    </row>
    <row r="21" spans="1:11" ht="76.5" x14ac:dyDescent="0.25">
      <c r="A21" s="14">
        <f>ROW(A21) - ROW($A$10)</f>
        <v>11</v>
      </c>
      <c r="B21" s="30" t="s">
        <v>24</v>
      </c>
      <c r="C21" s="14">
        <v>1</v>
      </c>
      <c r="D21" s="14"/>
      <c r="E21" s="30" t="s">
        <v>41</v>
      </c>
      <c r="F21" s="14"/>
      <c r="G21" s="31" t="s">
        <v>57</v>
      </c>
      <c r="H21" s="15"/>
      <c r="I21" s="15"/>
      <c r="J21" s="15"/>
      <c r="K21" s="31" t="s">
        <v>64</v>
      </c>
    </row>
    <row r="22" spans="1:11" ht="38.25" x14ac:dyDescent="0.25">
      <c r="A22" s="14">
        <f t="shared" si="0"/>
        <v>12</v>
      </c>
      <c r="B22" s="30" t="s">
        <v>25</v>
      </c>
      <c r="C22" s="14">
        <v>1</v>
      </c>
      <c r="D22" s="14"/>
      <c r="E22" s="30" t="s">
        <v>42</v>
      </c>
      <c r="F22" s="14"/>
      <c r="G22" s="31" t="s">
        <v>58</v>
      </c>
      <c r="H22" s="15"/>
      <c r="I22" s="15"/>
      <c r="J22" s="15"/>
      <c r="K22" s="31" t="s">
        <v>64</v>
      </c>
    </row>
    <row r="23" spans="1:11" ht="38.25" x14ac:dyDescent="0.25">
      <c r="A23" s="14">
        <f>ROW(A23) - ROW($A$10)</f>
        <v>13</v>
      </c>
      <c r="B23" s="30" t="s">
        <v>26</v>
      </c>
      <c r="C23" s="14">
        <v>1</v>
      </c>
      <c r="D23" s="14"/>
      <c r="E23" s="30" t="s">
        <v>43</v>
      </c>
      <c r="F23" s="14"/>
      <c r="G23" s="31" t="s">
        <v>59</v>
      </c>
      <c r="H23" s="15"/>
      <c r="I23" s="15"/>
      <c r="J23" s="15"/>
      <c r="K23" s="31" t="s">
        <v>64</v>
      </c>
    </row>
    <row r="24" spans="1:11" ht="38.25" x14ac:dyDescent="0.25">
      <c r="A24" s="14">
        <f t="shared" si="0"/>
        <v>14</v>
      </c>
      <c r="B24" s="30" t="s">
        <v>27</v>
      </c>
      <c r="C24" s="14">
        <v>1</v>
      </c>
      <c r="D24" s="14"/>
      <c r="E24" s="30" t="s">
        <v>44</v>
      </c>
      <c r="F24" s="14"/>
      <c r="G24" s="31" t="s">
        <v>60</v>
      </c>
      <c r="H24" s="15"/>
      <c r="I24" s="15"/>
      <c r="J24" s="15"/>
      <c r="K24" s="31" t="s">
        <v>64</v>
      </c>
    </row>
    <row r="25" spans="1:11" x14ac:dyDescent="0.25">
      <c r="G25" s="16"/>
      <c r="H25" s="16"/>
      <c r="I25" s="16"/>
      <c r="J25" s="16"/>
      <c r="K25" s="16"/>
    </row>
    <row r="26" spans="1:11" x14ac:dyDescent="0.25">
      <c r="G26" s="16"/>
      <c r="H26" s="16"/>
      <c r="I26" s="16"/>
      <c r="J26" s="16"/>
      <c r="K26" s="16"/>
    </row>
    <row r="27" spans="1:11" x14ac:dyDescent="0.25">
      <c r="G27" s="16"/>
      <c r="H27" s="16"/>
      <c r="I27" s="16"/>
      <c r="J27" s="16"/>
      <c r="K27" s="16"/>
    </row>
    <row r="28" spans="1:11" x14ac:dyDescent="0.25">
      <c r="G28" s="16"/>
      <c r="H28" s="16"/>
      <c r="I28" s="16"/>
      <c r="J28" s="16"/>
      <c r="K28" s="16"/>
    </row>
    <row r="29" spans="1:11" x14ac:dyDescent="0.25">
      <c r="G29" s="16"/>
      <c r="H29" s="16"/>
      <c r="I29" s="16"/>
      <c r="J29" s="16"/>
      <c r="K29" s="16"/>
    </row>
    <row r="30" spans="1:11" x14ac:dyDescent="0.25">
      <c r="G30" s="16"/>
      <c r="H30" s="16"/>
      <c r="I30" s="16"/>
      <c r="J30" s="16"/>
      <c r="K30" s="16"/>
    </row>
    <row r="31" spans="1:11" x14ac:dyDescent="0.25">
      <c r="H31" s="16"/>
      <c r="I31" s="16"/>
      <c r="J31" s="16"/>
      <c r="K31" s="16"/>
    </row>
    <row r="32" spans="1:11" x14ac:dyDescent="0.25">
      <c r="H32" s="16"/>
      <c r="I32" s="16"/>
      <c r="J32" s="16"/>
      <c r="K32" s="16"/>
    </row>
    <row r="33" spans="8:11" x14ac:dyDescent="0.25">
      <c r="H33" s="16"/>
      <c r="I33" s="16"/>
      <c r="J33" s="16"/>
      <c r="K33" s="16"/>
    </row>
    <row r="34" spans="8:11" x14ac:dyDescent="0.25">
      <c r="H34" s="16"/>
      <c r="I34" s="16"/>
      <c r="J34" s="16"/>
      <c r="K34" s="16"/>
    </row>
    <row r="35" spans="8:11" x14ac:dyDescent="0.25">
      <c r="H35" s="16"/>
      <c r="I35" s="16"/>
      <c r="J35" s="16"/>
      <c r="K35" s="16"/>
    </row>
    <row r="36" spans="8:11" x14ac:dyDescent="0.25">
      <c r="H36" s="16"/>
      <c r="I36" s="16"/>
      <c r="J36" s="16"/>
      <c r="K36" s="16"/>
    </row>
    <row r="37" spans="8:11" x14ac:dyDescent="0.25">
      <c r="H37" s="16"/>
      <c r="I37" s="16"/>
      <c r="J37" s="16"/>
      <c r="K37" s="16"/>
    </row>
    <row r="38" spans="8:11" x14ac:dyDescent="0.25">
      <c r="H38" s="16"/>
      <c r="I38" s="16"/>
      <c r="J38" s="16"/>
      <c r="K38" s="16"/>
    </row>
    <row r="39" spans="8:11" x14ac:dyDescent="0.25">
      <c r="H39" s="16"/>
      <c r="I39" s="16"/>
      <c r="J39" s="16"/>
      <c r="K39" s="16"/>
    </row>
    <row r="40" spans="8:11" x14ac:dyDescent="0.25">
      <c r="H40" s="16"/>
      <c r="I40" s="16"/>
      <c r="J40" s="16"/>
      <c r="K40" s="16"/>
    </row>
    <row r="41" spans="8:11" x14ac:dyDescent="0.25">
      <c r="H41" s="16"/>
      <c r="I41" s="16"/>
      <c r="J41" s="16"/>
      <c r="K41" s="16"/>
    </row>
    <row r="42" spans="8:11" x14ac:dyDescent="0.25">
      <c r="H42" s="16"/>
      <c r="I42" s="16"/>
      <c r="J42" s="16"/>
      <c r="K42" s="16"/>
    </row>
    <row r="43" spans="8:11" x14ac:dyDescent="0.25">
      <c r="H43" s="16"/>
      <c r="I43" s="16"/>
      <c r="J43" s="16"/>
      <c r="K43" s="16"/>
    </row>
    <row r="44" spans="8:11" x14ac:dyDescent="0.25">
      <c r="H44" s="16"/>
      <c r="I44" s="16"/>
      <c r="J44" s="16"/>
      <c r="K44" s="16"/>
    </row>
  </sheetData>
  <autoFilter ref="G10:K10" xr:uid="{00000000-0009-0000-0000-000000000000}"/>
  <mergeCells count="5">
    <mergeCell ref="D1:F1"/>
    <mergeCell ref="E2:F2"/>
    <mergeCell ref="E3:F3"/>
    <mergeCell ref="E4:F4"/>
    <mergeCell ref="E5:F5"/>
  </mergeCells>
  <conditionalFormatting sqref="K11:K12">
    <cfRule type="cellIs" dxfId="12" priority="13" operator="equal">
      <formula>"Not Fitted"</formula>
    </cfRule>
  </conditionalFormatting>
  <conditionalFormatting sqref="K13">
    <cfRule type="cellIs" dxfId="11" priority="12" operator="equal">
      <formula>"Not Fitted"</formula>
    </cfRule>
  </conditionalFormatting>
  <conditionalFormatting sqref="K14">
    <cfRule type="cellIs" dxfId="10" priority="11" operator="equal">
      <formula>"Not Fitted"</formula>
    </cfRule>
  </conditionalFormatting>
  <conditionalFormatting sqref="K15">
    <cfRule type="cellIs" dxfId="9" priority="10" operator="equal">
      <formula>"Not Fitted"</formula>
    </cfRule>
  </conditionalFormatting>
  <conditionalFormatting sqref="K16">
    <cfRule type="cellIs" dxfId="8" priority="9" operator="equal">
      <formula>"Not Fitted"</formula>
    </cfRule>
  </conditionalFormatting>
  <conditionalFormatting sqref="K17">
    <cfRule type="cellIs" dxfId="7" priority="8" operator="equal">
      <formula>"Not Fitted"</formula>
    </cfRule>
  </conditionalFormatting>
  <conditionalFormatting sqref="K18">
    <cfRule type="cellIs" dxfId="6" priority="7" operator="equal">
      <formula>"Not Fitted"</formula>
    </cfRule>
  </conditionalFormatting>
  <conditionalFormatting sqref="K19">
    <cfRule type="cellIs" dxfId="5" priority="6" operator="equal">
      <formula>"Not Fitted"</formula>
    </cfRule>
  </conditionalFormatting>
  <conditionalFormatting sqref="K20">
    <cfRule type="cellIs" dxfId="4" priority="5" operator="equal">
      <formula>"Not Fitted"</formula>
    </cfRule>
  </conditionalFormatting>
  <conditionalFormatting sqref="K21">
    <cfRule type="cellIs" dxfId="3" priority="4" operator="equal">
      <formula>"Not Fitted"</formula>
    </cfRule>
  </conditionalFormatting>
  <conditionalFormatting sqref="K22">
    <cfRule type="cellIs" dxfId="2" priority="3" operator="equal">
      <formula>"Not Fitted"</formula>
    </cfRule>
  </conditionalFormatting>
  <conditionalFormatting sqref="K23">
    <cfRule type="cellIs" dxfId="1" priority="2" operator="equal">
      <formula>"Not Fitted"</formula>
    </cfRule>
  </conditionalFormatting>
  <conditionalFormatting sqref="K24">
    <cfRule type="cellIs" dxfId="0" priority="1" operator="equal">
      <formula>"Not Fitted"</formula>
    </cfRule>
  </conditionalFormatting>
  <pageMargins left="0.25" right="0.25" top="0.75" bottom="0.75" header="0.3" footer="0.3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Plan1</vt:lpstr>
      <vt:lpstr>Plan1!Print_Area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Azeredo</dc:creator>
  <cp:lastModifiedBy>Yan Azeredo</cp:lastModifiedBy>
  <cp:lastPrinted>2017-04-10T14:11:50Z</cp:lastPrinted>
  <dcterms:created xsi:type="dcterms:W3CDTF">2015-04-08T20:36:22Z</dcterms:created>
  <dcterms:modified xsi:type="dcterms:W3CDTF">2021-06-29T01:34:32Z</dcterms:modified>
</cp:coreProperties>
</file>